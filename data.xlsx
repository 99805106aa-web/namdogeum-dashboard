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김훈희\Downloads\"/>
    </mc:Choice>
  </mc:AlternateContent>
  <bookViews>
    <workbookView xWindow="0" yWindow="0" windowWidth="28800" windowHeight="12165"/>
  </bookViews>
  <sheets>
    <sheet name="2026" sheetId="1" r:id="rId1"/>
  </sheets>
  <definedNames>
    <definedName name="_xlnm._FilterDatabase" localSheetId="0" hidden="1">'2026'!$B$3:$P$162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07" i="1" l="1"/>
  <c r="E307" i="1"/>
  <c r="F306" i="1"/>
  <c r="E306" i="1"/>
  <c r="E305" i="1"/>
  <c r="F304" i="1"/>
  <c r="E304" i="1" s="1"/>
  <c r="F303" i="1"/>
  <c r="E303" i="1"/>
  <c r="F302" i="1"/>
  <c r="E302" i="1"/>
  <c r="F301" i="1"/>
  <c r="E301" i="1" s="1"/>
  <c r="F300" i="1"/>
  <c r="E300" i="1"/>
  <c r="F299" i="1"/>
  <c r="E299" i="1"/>
  <c r="F298" i="1"/>
  <c r="E298" i="1"/>
  <c r="F297" i="1"/>
  <c r="E297" i="1" s="1"/>
  <c r="F296" i="1"/>
  <c r="E296" i="1" s="1"/>
  <c r="F295" i="1"/>
  <c r="E295" i="1"/>
  <c r="F294" i="1"/>
  <c r="E294" i="1"/>
  <c r="F293" i="1"/>
  <c r="E293" i="1"/>
  <c r="F292" i="1"/>
  <c r="E292" i="1"/>
  <c r="F291" i="1"/>
  <c r="E291" i="1"/>
  <c r="J290" i="1"/>
  <c r="F290" i="1"/>
  <c r="E290" i="1" s="1"/>
  <c r="F289" i="1"/>
  <c r="E289" i="1" s="1"/>
  <c r="E288" i="1"/>
  <c r="F287" i="1"/>
  <c r="E287" i="1"/>
  <c r="F286" i="1"/>
  <c r="E286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<sst xmlns="http://schemas.openxmlformats.org/spreadsheetml/2006/main" count="321" uniqueCount="151">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</sst>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40329"/>
  <sheetViews>
    <sheetView tabSelected="1" topLeftCell="A280" zoomScaleNormal="100" workbookViewId="0">
      <selection activeCell="F306" sqref="F306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46071</v>
      </c>
      <c r="C286" s="5" t="s">
        <v>146</v>
      </c>
      <c r="D286" s="8">
        <v>264</v>
      </c>
      <c r="E286" s="8">
        <f t="shared" ref="E286:E307" si="6">D286-F286</f>
        <v>264</v>
      </c>
      <c r="F286" s="8">
        <f>SUM(G286:P286)</f>
        <v>0</v>
      </c>
      <c r="G286" s="11"/>
      <c r="H286" s="11"/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46071</v>
      </c>
      <c r="C287" s="5" t="s">
        <v>45</v>
      </c>
      <c r="D287" s="8">
        <v>600</v>
      </c>
      <c r="E287" s="8">
        <f t="shared" si="6"/>
        <v>600</v>
      </c>
      <c r="F287" s="8">
        <f t="shared" ref="F287:F307" si="7">SUM(G287:P287)</f>
        <v>0</v>
      </c>
      <c r="G287" s="11"/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46071</v>
      </c>
      <c r="C288" s="5" t="s">
        <v>25</v>
      </c>
      <c r="D288" s="8">
        <v>808</v>
      </c>
      <c r="E288" s="8">
        <f t="shared" si="6"/>
        <v>208</v>
      </c>
      <c r="F288" s="8">
        <v>600</v>
      </c>
      <c r="G288" s="11">
        <v>13</v>
      </c>
      <c r="H288" s="11">
        <v>5</v>
      </c>
      <c r="I288" s="11"/>
      <c r="J288" s="11"/>
      <c r="K288" s="11"/>
      <c r="L288" s="11"/>
      <c r="M288" s="11"/>
      <c r="N288" s="11"/>
      <c r="O288" s="11"/>
      <c r="P288" s="11"/>
    </row>
    <row r="289" spans="2:16">
      <c r="B289" s="14">
        <v>46071</v>
      </c>
      <c r="C289" s="5" t="s">
        <v>26</v>
      </c>
      <c r="D289" s="8">
        <v>808</v>
      </c>
      <c r="E289" s="8">
        <f t="shared" si="6"/>
        <v>790</v>
      </c>
      <c r="F289" s="8">
        <f t="shared" si="7"/>
        <v>18</v>
      </c>
      <c r="G289" s="11">
        <v>13</v>
      </c>
      <c r="H289" s="11">
        <v>5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46071</v>
      </c>
      <c r="C290" s="5" t="s">
        <v>28</v>
      </c>
      <c r="D290" s="8">
        <v>3695</v>
      </c>
      <c r="E290" s="8">
        <f t="shared" si="6"/>
        <v>3620</v>
      </c>
      <c r="F290" s="8">
        <f t="shared" si="7"/>
        <v>75</v>
      </c>
      <c r="G290" s="11"/>
      <c r="H290" s="11">
        <v>21</v>
      </c>
      <c r="I290" s="11"/>
      <c r="J290" s="11">
        <f>44-8</f>
        <v>36</v>
      </c>
      <c r="K290" s="11"/>
      <c r="L290" s="11">
        <v>18</v>
      </c>
      <c r="M290" s="11"/>
      <c r="N290" s="11"/>
      <c r="O290" s="11"/>
      <c r="P290" s="11"/>
    </row>
    <row r="291" spans="2:16">
      <c r="B291" s="14">
        <v>46071</v>
      </c>
      <c r="C291" s="5" t="s">
        <v>76</v>
      </c>
      <c r="D291" s="8">
        <v>1068</v>
      </c>
      <c r="E291" s="8">
        <f t="shared" si="6"/>
        <v>1050</v>
      </c>
      <c r="F291" s="8">
        <f t="shared" si="7"/>
        <v>18</v>
      </c>
      <c r="G291" s="11"/>
      <c r="H291" s="11">
        <v>18</v>
      </c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46071</v>
      </c>
      <c r="C292" s="5" t="s">
        <v>53</v>
      </c>
      <c r="D292" s="8">
        <v>1017</v>
      </c>
      <c r="E292" s="8">
        <f t="shared" si="6"/>
        <v>1000</v>
      </c>
      <c r="F292" s="8">
        <f t="shared" si="7"/>
        <v>17</v>
      </c>
      <c r="G292" s="11"/>
      <c r="H292" s="11">
        <v>17</v>
      </c>
      <c r="I292" s="11"/>
      <c r="J292" s="11"/>
      <c r="K292" s="11"/>
      <c r="L292" s="11"/>
      <c r="M292" s="11"/>
      <c r="N292" s="11"/>
      <c r="O292" s="11"/>
      <c r="P292" s="11"/>
    </row>
    <row r="293" spans="2:16">
      <c r="B293" s="14">
        <v>46071</v>
      </c>
      <c r="C293" s="5" t="s">
        <v>64</v>
      </c>
      <c r="D293" s="8">
        <v>2448</v>
      </c>
      <c r="E293" s="8">
        <f t="shared" si="6"/>
        <v>2448</v>
      </c>
      <c r="F293" s="8">
        <f t="shared" si="7"/>
        <v>0</v>
      </c>
      <c r="G293" s="11"/>
      <c r="H293" s="11"/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46071</v>
      </c>
      <c r="C294" s="5" t="s">
        <v>147</v>
      </c>
      <c r="D294" s="8">
        <v>420</v>
      </c>
      <c r="E294" s="8">
        <f t="shared" si="6"/>
        <v>420</v>
      </c>
      <c r="F294" s="8">
        <f t="shared" si="7"/>
        <v>0</v>
      </c>
      <c r="G294" s="11"/>
      <c r="H294" s="11"/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46071</v>
      </c>
      <c r="C295" s="5" t="s">
        <v>148</v>
      </c>
      <c r="D295" s="8">
        <v>1001</v>
      </c>
      <c r="E295" s="8">
        <f t="shared" si="6"/>
        <v>1000</v>
      </c>
      <c r="F295" s="8">
        <f t="shared" si="7"/>
        <v>1</v>
      </c>
      <c r="G295" s="11">
        <v>1</v>
      </c>
      <c r="H295" s="11"/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46071</v>
      </c>
      <c r="C296" s="5" t="s">
        <v>149</v>
      </c>
      <c r="D296" s="8">
        <v>312</v>
      </c>
      <c r="E296" s="8">
        <f t="shared" si="6"/>
        <v>312</v>
      </c>
      <c r="F296" s="8">
        <f t="shared" si="7"/>
        <v>0</v>
      </c>
      <c r="G296" s="11"/>
      <c r="H296" s="11"/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46071</v>
      </c>
      <c r="C297" s="5" t="s">
        <v>85</v>
      </c>
      <c r="D297" s="8">
        <v>1908</v>
      </c>
      <c r="E297" s="8">
        <f t="shared" si="6"/>
        <v>1888</v>
      </c>
      <c r="F297" s="8">
        <f t="shared" si="7"/>
        <v>20</v>
      </c>
      <c r="G297" s="11">
        <v>10</v>
      </c>
      <c r="H297" s="11">
        <v>10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46071</v>
      </c>
      <c r="C298" s="5" t="s">
        <v>79</v>
      </c>
      <c r="D298" s="8">
        <v>590</v>
      </c>
      <c r="E298" s="8">
        <f t="shared" si="6"/>
        <v>590</v>
      </c>
      <c r="F298" s="8">
        <f t="shared" si="7"/>
        <v>0</v>
      </c>
      <c r="G298" s="11"/>
      <c r="H298" s="11"/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46071</v>
      </c>
      <c r="C299" s="5" t="s">
        <v>14</v>
      </c>
      <c r="D299" s="8">
        <v>60</v>
      </c>
      <c r="E299" s="8">
        <f t="shared" si="6"/>
        <v>60</v>
      </c>
      <c r="F299" s="8">
        <f t="shared" si="7"/>
        <v>0</v>
      </c>
      <c r="G299" s="11"/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46071</v>
      </c>
      <c r="C300" s="5" t="s">
        <v>44</v>
      </c>
      <c r="D300" s="8">
        <v>1780</v>
      </c>
      <c r="E300" s="8">
        <f t="shared" si="6"/>
        <v>1780</v>
      </c>
      <c r="F300" s="8">
        <f t="shared" si="7"/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46071</v>
      </c>
      <c r="C301" s="5" t="s">
        <v>150</v>
      </c>
      <c r="D301" s="8">
        <v>1000</v>
      </c>
      <c r="E301" s="8">
        <f t="shared" si="6"/>
        <v>1000</v>
      </c>
      <c r="F301" s="8">
        <f t="shared" si="7"/>
        <v>0</v>
      </c>
      <c r="G301" s="11"/>
      <c r="H301" s="11"/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46071</v>
      </c>
      <c r="C302" s="5" t="s">
        <v>56</v>
      </c>
      <c r="D302" s="8">
        <v>1200</v>
      </c>
      <c r="E302" s="8">
        <f t="shared" si="6"/>
        <v>1200</v>
      </c>
      <c r="F302" s="8">
        <f t="shared" si="7"/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46071</v>
      </c>
      <c r="C303" s="5" t="s">
        <v>68</v>
      </c>
      <c r="D303" s="8">
        <v>252</v>
      </c>
      <c r="E303" s="8">
        <f t="shared" si="6"/>
        <v>250</v>
      </c>
      <c r="F303" s="8">
        <f t="shared" si="7"/>
        <v>2</v>
      </c>
      <c r="G303" s="11"/>
      <c r="H303" s="11"/>
      <c r="I303" s="11"/>
      <c r="J303" s="11"/>
      <c r="K303" s="11"/>
      <c r="L303" s="11"/>
      <c r="M303" s="11"/>
      <c r="N303" s="11"/>
      <c r="O303" s="11"/>
      <c r="P303" s="11">
        <v>2</v>
      </c>
    </row>
    <row r="304" spans="2:16">
      <c r="B304" s="14">
        <v>46071</v>
      </c>
      <c r="C304" s="5" t="s">
        <v>33</v>
      </c>
      <c r="D304" s="8">
        <v>814</v>
      </c>
      <c r="E304" s="8">
        <f t="shared" si="6"/>
        <v>780</v>
      </c>
      <c r="F304" s="8">
        <f t="shared" si="7"/>
        <v>34</v>
      </c>
      <c r="G304" s="11">
        <v>5</v>
      </c>
      <c r="H304" s="11">
        <v>24</v>
      </c>
      <c r="I304" s="11"/>
      <c r="J304" s="11">
        <v>5</v>
      </c>
      <c r="K304" s="11"/>
      <c r="L304" s="11"/>
      <c r="M304" s="11"/>
      <c r="N304" s="11"/>
      <c r="O304" s="11"/>
      <c r="P304" s="11"/>
    </row>
    <row r="305" spans="2:16">
      <c r="B305" s="14">
        <v>46071</v>
      </c>
      <c r="C305" s="5" t="s">
        <v>34</v>
      </c>
      <c r="D305" s="8">
        <v>1622</v>
      </c>
      <c r="E305" s="8">
        <f t="shared" si="6"/>
        <v>1322</v>
      </c>
      <c r="F305" s="8">
        <v>300</v>
      </c>
      <c r="G305" s="11"/>
      <c r="H305" s="11">
        <v>2</v>
      </c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46071</v>
      </c>
      <c r="C306" s="5" t="s">
        <v>58</v>
      </c>
      <c r="D306" s="8">
        <v>720</v>
      </c>
      <c r="E306" s="8">
        <f t="shared" si="6"/>
        <v>720</v>
      </c>
      <c r="F306" s="8">
        <f t="shared" si="7"/>
        <v>0</v>
      </c>
      <c r="G306" s="11"/>
      <c r="H306" s="11"/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46071</v>
      </c>
      <c r="C307" s="5" t="s">
        <v>46</v>
      </c>
      <c r="D307" s="8">
        <v>786</v>
      </c>
      <c r="E307" s="8">
        <f t="shared" si="6"/>
        <v>786</v>
      </c>
      <c r="F307" s="8">
        <f t="shared" si="7"/>
        <v>0</v>
      </c>
      <c r="G307" s="11"/>
      <c r="H307" s="11"/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/>
      <c r="C308" s="5"/>
      <c r="D308" s="8"/>
      <c r="E308" s="8"/>
      <c r="F308" s="8"/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/>
      <c r="C309" s="5"/>
      <c r="D309" s="8"/>
      <c r="E309" s="8"/>
      <c r="F309" s="8"/>
      <c r="G309" s="11"/>
      <c r="H309" s="11"/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/>
      <c r="C310" s="5"/>
      <c r="D310" s="8"/>
      <c r="E310" s="8"/>
      <c r="F310" s="8"/>
      <c r="G310" s="11"/>
      <c r="H310" s="11"/>
      <c r="I310" s="11"/>
      <c r="J310" s="11"/>
      <c r="K310" s="11"/>
      <c r="L310" s="11"/>
      <c r="M310" s="11"/>
      <c r="N310" s="11"/>
      <c r="O310" s="11"/>
      <c r="P310" s="11"/>
    </row>
    <row r="311" spans="2:16">
      <c r="B311" s="14"/>
      <c r="C311" s="5"/>
      <c r="D311" s="8"/>
      <c r="E311" s="8"/>
      <c r="F311" s="8"/>
      <c r="G311" s="11"/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/>
      <c r="C312" s="5"/>
      <c r="D312" s="8"/>
      <c r="E312" s="8"/>
      <c r="F312" s="8"/>
      <c r="G312" s="11"/>
      <c r="H312" s="11"/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/>
      <c r="C313" s="5"/>
      <c r="D313" s="8"/>
      <c r="E313" s="8"/>
      <c r="F313" s="8"/>
      <c r="G313" s="11"/>
      <c r="H313" s="11"/>
      <c r="I313" s="11"/>
      <c r="J313" s="11"/>
      <c r="K313" s="11"/>
      <c r="L313" s="11"/>
      <c r="M313" s="11"/>
      <c r="N313" s="11"/>
      <c r="O313" s="11"/>
      <c r="P313" s="11"/>
    </row>
    <row r="314" spans="2:16">
      <c r="B314" s="14"/>
      <c r="C314" s="5"/>
      <c r="D314" s="8"/>
      <c r="E314" s="8"/>
      <c r="F314" s="8"/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/>
      <c r="C315" s="5"/>
      <c r="D315" s="8"/>
      <c r="E315" s="8"/>
      <c r="F315" s="8"/>
      <c r="G315" s="11"/>
      <c r="H315" s="11"/>
      <c r="I315" s="11"/>
      <c r="J315" s="11"/>
      <c r="K315" s="11"/>
      <c r="L315" s="11"/>
      <c r="M315" s="11"/>
      <c r="N315" s="11"/>
      <c r="O315" s="11"/>
      <c r="P315" s="11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김훈희</cp:lastModifiedBy>
  <dcterms:created xsi:type="dcterms:W3CDTF">2026-02-03T12:25:57Z</dcterms:created>
  <dcterms:modified xsi:type="dcterms:W3CDTF">2026-02-18T14:10:37Z</dcterms:modified>
</cp:coreProperties>
</file>